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Report" sheetId="2" r:id="rId6"/>
    <sheet state="visible" name="Self-check" sheetId="3" r:id="rId7"/>
    <sheet state="visible" name="Bugs" sheetId="4" r:id="rId8"/>
  </sheets>
  <definedNames/>
  <calcPr/>
</workbook>
</file>

<file path=xl/sharedStrings.xml><?xml version="1.0" encoding="utf-8"?>
<sst xmlns="http://schemas.openxmlformats.org/spreadsheetml/2006/main" count="287" uniqueCount="139">
  <si>
    <t>Mark each checkbox if you followed this instruction:</t>
  </si>
  <si>
    <r>
      <rPr>
        <rFont val="Arial"/>
        <sz val="12.0"/>
      </rPr>
      <t xml:space="preserve">PetStore Cart requirements </t>
    </r>
    <r>
      <rPr>
        <rFont val="Arial"/>
        <color rgb="FF1155CC"/>
        <sz val="12.0"/>
        <u/>
      </rPr>
      <t>link</t>
    </r>
    <r>
      <rPr>
        <rFont val="Arial"/>
        <sz val="12.0"/>
      </rPr>
      <t xml:space="preserve">.
PetStore site </t>
    </r>
    <r>
      <rPr>
        <rFont val="Arial"/>
        <color rgb="FF1155CC"/>
        <sz val="12.0"/>
        <u/>
      </rPr>
      <t>link</t>
    </r>
    <r>
      <rPr>
        <rFont val="Arial"/>
        <sz val="12.0"/>
      </rPr>
      <t xml:space="preserve">. </t>
    </r>
  </si>
  <si>
    <r>
      <rPr>
        <rFont val="Calibri"/>
        <b val="0"/>
        <color theme="1"/>
        <sz val="14.0"/>
      </rPr>
      <t>1. Self-checklist for the</t>
    </r>
    <r>
      <rPr>
        <rFont val="Calibri"/>
        <b/>
        <color theme="1"/>
        <sz val="14.0"/>
      </rPr>
      <t xml:space="preserve"> STLC Practice - Test Design </t>
    </r>
    <r>
      <rPr>
        <rFont val="Calibri"/>
        <b val="0"/>
        <color theme="1"/>
        <sz val="14.0"/>
      </rPr>
      <t>task</t>
    </r>
  </si>
  <si>
    <t>Test Execution statistics</t>
  </si>
  <si>
    <t>Category</t>
  </si>
  <si>
    <t>Field</t>
  </si>
  <si>
    <t>Value</t>
  </si>
  <si>
    <t>ID</t>
  </si>
  <si>
    <t>Date</t>
  </si>
  <si>
    <t>Total tests number</t>
  </si>
  <si>
    <t>Executed tests number</t>
  </si>
  <si>
    <t>PS-001</t>
  </si>
  <si>
    <t>I've replaced [YourName YourSurname] with my name like [Arthur Morgan]</t>
  </si>
  <si>
    <t>Execution Rate, %</t>
  </si>
  <si>
    <t>Summary</t>
  </si>
  <si>
    <t>Passed tests number</t>
  </si>
  <si>
    <t>Pass Rate, %</t>
  </si>
  <si>
    <t>Test Checklist</t>
  </si>
  <si>
    <t>I've read requirements and created checklist for the Cart</t>
  </si>
  <si>
    <t>Failed test number</t>
  </si>
  <si>
    <t>Shopping cart is not accessible from category pages</t>
  </si>
  <si>
    <t>I've checked common mistakes and mentors' comments in my previous homework task for Checklists to avoid them in this task</t>
  </si>
  <si>
    <t>Bug details</t>
  </si>
  <si>
    <t>Preconditions</t>
  </si>
  <si>
    <t>User is logged in.</t>
  </si>
  <si>
    <r>
      <rPr>
        <rFont val="Arial"/>
        <color theme="1"/>
        <sz val="11.0"/>
      </rPr>
      <t xml:space="preserve">I've </t>
    </r>
    <r>
      <rPr>
        <rFont val="Arial"/>
        <b/>
        <color theme="1"/>
        <sz val="11.0"/>
      </rPr>
      <t>not run</t>
    </r>
    <r>
      <rPr>
        <rFont val="Arial"/>
        <color theme="1"/>
        <sz val="11.0"/>
      </rPr>
      <t xml:space="preserve"> my checklist in this task</t>
    </r>
  </si>
  <si>
    <t>I've provided access to “Edit” this document</t>
  </si>
  <si>
    <t>Steps to reproduce</t>
  </si>
  <si>
    <r>
      <rPr>
        <rFont val="Calibri"/>
        <b val="0"/>
        <color theme="1"/>
        <sz val="14.0"/>
      </rPr>
      <t xml:space="preserve">2. Self-checklist for the </t>
    </r>
    <r>
      <rPr>
        <rFont val="Calibri"/>
        <b/>
        <color theme="1"/>
        <sz val="14.0"/>
      </rPr>
      <t xml:space="preserve">STLC Practice - Test execution &amp; reporting </t>
    </r>
    <r>
      <rPr>
        <rFont val="Calibri"/>
        <b val="0"/>
        <color theme="1"/>
        <sz val="14.0"/>
      </rPr>
      <t>task</t>
    </r>
  </si>
  <si>
    <t>1. Log in to JPetStore.
2. Open the Fish or Dogs category.
3. Try to access the Shopping Cart.</t>
  </si>
  <si>
    <t>Test Run Result</t>
  </si>
  <si>
    <t>Actual result</t>
  </si>
  <si>
    <t>There is no Cart link or button on the category pages.</t>
  </si>
  <si>
    <t>Expected result</t>
  </si>
  <si>
    <t>The Shopping Cart should be accessible from any page.</t>
  </si>
  <si>
    <t>Attachments</t>
  </si>
  <si>
    <t>This part of the self-check is designed for the second part of the STLC homework task</t>
  </si>
  <si>
    <t>Screenshot:blob:https://docs.google.com/8696d230-2e15-4415-bb8a-80357350f783</t>
  </si>
  <si>
    <t>Video:</t>
  </si>
  <si>
    <t>Preconditons:</t>
  </si>
  <si>
    <t>Notes</t>
  </si>
  <si>
    <r>
      <rPr>
        <rFont val="Arial"/>
        <color theme="1"/>
        <sz val="11.0"/>
      </rPr>
      <t>Mentor approved my previous task "</t>
    </r>
    <r>
      <rPr>
        <rFont val="Arial"/>
        <b/>
        <color theme="1"/>
        <sz val="11.0"/>
      </rPr>
      <t>STLC Practice - Test Design</t>
    </r>
    <r>
      <rPr>
        <rFont val="Arial"/>
        <color theme="1"/>
        <sz val="11.0"/>
      </rPr>
      <t>"</t>
    </r>
  </si>
  <si>
    <t>I've executed my checklist and marked all checks as "Passed", "Failed", or "Blocked"</t>
  </si>
  <si>
    <t xml:space="preserve">Run date: </t>
  </si>
  <si>
    <t>I've reported Bug reports for failed checks in the "Bugs" tab</t>
  </si>
  <si>
    <t>I've added Bug ID of reported bugs to the "Bug ID" column in my checklist for failed checks</t>
  </si>
  <si>
    <t>dd/mm/yy</t>
  </si>
  <si>
    <t>Environment</t>
  </si>
  <si>
    <r>
      <rPr>
        <rFont val="Arial"/>
        <sz val="11.0"/>
      </rPr>
      <t xml:space="preserve">I've added a </t>
    </r>
    <r>
      <rPr>
        <rFont val="Arial"/>
        <b/>
        <sz val="11.0"/>
      </rPr>
      <t>total</t>
    </r>
    <r>
      <rPr>
        <rFont val="Arial"/>
        <sz val="11.0"/>
      </rPr>
      <t xml:space="preserve"> number of tests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cell</t>
    </r>
  </si>
  <si>
    <t>#</t>
  </si>
  <si>
    <t>Operating system</t>
  </si>
  <si>
    <t>Bugs statistics</t>
  </si>
  <si>
    <t>Checklist item</t>
  </si>
  <si>
    <t>Priority</t>
  </si>
  <si>
    <t>Number</t>
  </si>
  <si>
    <t xml:space="preserve">Windows 11 </t>
  </si>
  <si>
    <t>App version</t>
  </si>
  <si>
    <t>Demo</t>
  </si>
  <si>
    <t>%</t>
  </si>
  <si>
    <t>Browser</t>
  </si>
  <si>
    <t>Chrome (latest)</t>
  </si>
  <si>
    <t>Total</t>
  </si>
  <si>
    <t>Result</t>
  </si>
  <si>
    <r>
      <rPr>
        <rFont val="Arial"/>
        <sz val="11.0"/>
      </rPr>
      <t xml:space="preserve">I've added a number of </t>
    </r>
    <r>
      <rPr>
        <rFont val="Arial"/>
        <b/>
        <sz val="11.0"/>
      </rPr>
      <t>executed</t>
    </r>
    <r>
      <rPr>
        <rFont val="Arial"/>
        <sz val="11.0"/>
      </rPr>
      <t xml:space="preserve"> tests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cell</t>
    </r>
  </si>
  <si>
    <t>Bug ID</t>
  </si>
  <si>
    <t>Severity</t>
  </si>
  <si>
    <t>Comment</t>
  </si>
  <si>
    <t>Critical</t>
  </si>
  <si>
    <r>
      <rPr>
        <rFont val="Arial"/>
        <sz val="11.0"/>
      </rPr>
      <t xml:space="preserve">I've added a number of </t>
    </r>
    <r>
      <rPr>
        <rFont val="Arial"/>
        <b/>
        <sz val="11.0"/>
      </rPr>
      <t>passed</t>
    </r>
    <r>
      <rPr>
        <rFont val="Arial"/>
        <sz val="11.0"/>
      </rPr>
      <t xml:space="preserve"> tests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cell</t>
    </r>
  </si>
  <si>
    <t>Verify a user can add a product to the cart.</t>
  </si>
  <si>
    <t>Moderate</t>
  </si>
  <si>
    <r>
      <rPr>
        <rFont val="Arial"/>
        <sz val="11.0"/>
      </rPr>
      <t xml:space="preserve">I've added a number of </t>
    </r>
    <r>
      <rPr>
        <rFont val="Arial"/>
        <b/>
        <sz val="11.0"/>
      </rPr>
      <t>failed</t>
    </r>
    <r>
      <rPr>
        <rFont val="Arial"/>
        <sz val="11.0"/>
      </rPr>
      <t xml:space="preserve"> tests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cell</t>
    </r>
  </si>
  <si>
    <t>Major</t>
  </si>
  <si>
    <r>
      <rPr>
        <rFont val="Arial"/>
        <sz val="11.0"/>
      </rPr>
      <t xml:space="preserve">I've added a </t>
    </r>
    <r>
      <rPr>
        <rFont val="Arial"/>
        <b/>
        <sz val="11.0"/>
      </rPr>
      <t>total</t>
    </r>
    <r>
      <rPr>
        <rFont val="Arial"/>
        <sz val="11.0"/>
      </rPr>
      <t xml:space="preserve"> number of found </t>
    </r>
    <r>
      <rPr>
        <rFont val="Arial"/>
        <b/>
        <sz val="11.0"/>
      </rPr>
      <t>bugs</t>
    </r>
    <r>
      <rPr>
        <rFont val="Arial"/>
        <sz val="11.0"/>
      </rPr>
      <t xml:space="preserve">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cell</t>
    </r>
  </si>
  <si>
    <t>Passed</t>
  </si>
  <si>
    <t>Cart icon does not display the "Cart" tooltip when hovered</t>
  </si>
  <si>
    <r>
      <rPr>
        <rFont val="Arial"/>
        <color theme="1"/>
        <sz val="11.0"/>
      </rPr>
      <t xml:space="preserve">I've </t>
    </r>
    <r>
      <rPr>
        <rFont val="Arial"/>
        <b/>
        <color theme="1"/>
        <sz val="11.0"/>
      </rPr>
      <t>linked</t>
    </r>
    <r>
      <rPr>
        <rFont val="Arial"/>
        <color theme="1"/>
        <sz val="11.0"/>
      </rPr>
      <t xml:space="preserve"> Bug IDs of found bugs to the E column in the Checklist sheet</t>
    </r>
  </si>
  <si>
    <t>Log in to PetStore.
Hover the mouse over the Cart icon.
Wait 2–3 seconds.</t>
  </si>
  <si>
    <t>Verify a user can add multiple quantities of the same product.</t>
  </si>
  <si>
    <t>No tooltip is displayed when hovering over the Cart icon.</t>
  </si>
  <si>
    <t>High</t>
  </si>
  <si>
    <t>The Cart icon should display the tooltip "Cart".</t>
  </si>
  <si>
    <r>
      <rPr>
        <rFont val="Arial"/>
        <sz val="11.0"/>
      </rPr>
      <t xml:space="preserve">I've added the number of found bugs of each Severity to </t>
    </r>
    <r>
      <rPr>
        <rFont val="Arial"/>
        <color rgb="FF1155CC"/>
        <sz val="11.0"/>
        <u/>
      </rPr>
      <t>this</t>
    </r>
    <r>
      <rPr>
        <rFont val="Arial"/>
        <sz val="11.0"/>
      </rPr>
      <t xml:space="preserve"> range of cells</t>
    </r>
  </si>
  <si>
    <t>Minor</t>
  </si>
  <si>
    <t>Verify a user can add different products to the cart.</t>
  </si>
  <si>
    <r>
      <rPr>
        <rFont val="Arial"/>
        <color theme="1"/>
        <sz val="11.0"/>
      </rPr>
      <t xml:space="preserve">Note, that </t>
    </r>
    <r>
      <rPr>
        <rFont val="Arial"/>
        <b/>
        <color theme="1"/>
        <sz val="11.0"/>
        <u/>
      </rPr>
      <t>your work may be rejected if you haven’t filled this checklist</t>
    </r>
    <r>
      <rPr>
        <rFont val="Arial"/>
        <color theme="1"/>
        <sz val="11.0"/>
      </rPr>
      <t>.</t>
    </r>
  </si>
  <si>
    <t>Verify product name, quantity and price are displayed correctly in the cart.</t>
  </si>
  <si>
    <t>Verify cart total is calculated correctly.</t>
  </si>
  <si>
    <r>
      <rPr>
        <rFont val="Arial"/>
        <color theme="1"/>
      </rPr>
      <t xml:space="preserve">As a QA, you always will work with checklists in the future on your job. So check each point </t>
    </r>
    <r>
      <rPr>
        <rFont val="Arial"/>
        <b/>
        <color theme="1"/>
      </rPr>
      <t>carefully</t>
    </r>
    <r>
      <rPr>
        <rFont val="Arial"/>
        <color theme="1"/>
      </rPr>
      <t xml:space="preserve"> and double-check yourself before submitting.</t>
    </r>
  </si>
  <si>
    <t>Verify quantity can be updated.</t>
  </si>
  <si>
    <t>Verify cart total is updated after changing quantity.</t>
  </si>
  <si>
    <t>Cart icon badge does not update after adding products.</t>
  </si>
  <si>
    <t>Verify a product can be removed from the cart.</t>
  </si>
  <si>
    <t>Log in to PetStore.
Add one or more products to the cart.
Observe the cart icon on the page header.</t>
  </si>
  <si>
    <t>The cart icon does not display the number of items added to the cart.</t>
  </si>
  <si>
    <t>Verify the cart becomes empty after removing all products.</t>
  </si>
  <si>
    <t>The cart icon should display the current number of items in the cart.</t>
  </si>
  <si>
    <t>Screenshot:</t>
  </si>
  <si>
    <t>Verify quantity cannot be set to zero or a negative number.</t>
  </si>
  <si>
    <t>blob:https://docs.google.com/8696d230-2e15-4415-bb8a-80357350f783</t>
  </si>
  <si>
    <t>Verify quantity accepts only numeric values.</t>
  </si>
  <si>
    <t>Medium</t>
  </si>
  <si>
    <t>Verify cart contents remain after refreshing the page.</t>
  </si>
  <si>
    <t>Cart accepts quantity greater than the maximum limit of 5.</t>
  </si>
  <si>
    <t>Verify checkout button is available when the cart contains products.</t>
  </si>
  <si>
    <t>User is logged in.
Product is added to the Shopping Cart.</t>
  </si>
  <si>
    <t>Log in to PetStore.
Add a product to the Shopping Cart.
Enter quantity 6 in the Quantity field.
Click Update Cart.</t>
  </si>
  <si>
    <t>The cart accepts quantity 6 and updates the total price.</t>
  </si>
  <si>
    <t>Verify checkout cannot continue with an empty cart.</t>
  </si>
  <si>
    <t>The cart should not accept quantities greater than 5. An error message should be displayed and the quantity should remain at the maximum allowed value.</t>
  </si>
  <si>
    <t>Verify empty cart message is displayed when the cart has no products.</t>
  </si>
  <si>
    <t>Verify user can continue shopping from the cart.</t>
  </si>
  <si>
    <t>Logged-in cart appears in other sessions.</t>
  </si>
  <si>
    <t>Failed</t>
  </si>
  <si>
    <t>Cart becomes empty after logout.</t>
  </si>
  <si>
    <t>Removed product is removed from all other sessions.</t>
  </si>
  <si>
    <t>Verify cart can be accessed from any page.</t>
  </si>
  <si>
    <t>Verify Cart icon tooltip displays "Cart".</t>
  </si>
  <si>
    <t>Low</t>
  </si>
  <si>
    <t>PS-002</t>
  </si>
  <si>
    <t>Verify cart table displays all required columns.</t>
  </si>
  <si>
    <t>Verify cart displays the "Sub Total" row.</t>
  </si>
  <si>
    <t>Verify "Update Cart" button is displayed.</t>
  </si>
  <si>
    <t>Verify Checkout redirects logged-in users to the Checkout page.</t>
  </si>
  <si>
    <t>Verify Checkout redirects guest users to the Login page.</t>
  </si>
  <si>
    <t>Verify product can be added to cart from Product Details Page (PDP).</t>
  </si>
  <si>
    <t>Verify product can be added to cart from the product list.</t>
  </si>
  <si>
    <t>Verify cart icon badge updates after adding products.</t>
  </si>
  <si>
    <t>PS-003</t>
  </si>
  <si>
    <t>Verify Item ID and Name are clickable links.</t>
  </si>
  <si>
    <t>Verify maximum quantity of the same product is 5.</t>
  </si>
  <si>
    <t>PS-004</t>
  </si>
  <si>
    <t>Verify quantity validation after pressing Enter.</t>
  </si>
  <si>
    <t>Verify quantity validation after clicking "Update Cart".</t>
  </si>
  <si>
    <t>Verify validation message is displayed when quantity is greater than 5.</t>
  </si>
  <si>
    <t>Verify validation message is displayed when requested quantity exceeds available stock.</t>
  </si>
  <si>
    <t>Verify setting quantity to 0 removes the product after clicking "Update Cart".</t>
  </si>
  <si>
    <t>Verify out-of-stock products cannot be added to the cart.</t>
  </si>
  <si>
    <t>🟡 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</si>
</sst>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  <scheme val="minor"/>
    </font>
    <font>
      <sz val="11.0"/>
      <color theme="1"/>
      <name val="Arial"/>
    </font>
    <font>
      <b/>
      <sz val="14.0"/>
      <color theme="1"/>
      <name val="Calibri"/>
    </font>
    <font>
      <b/>
      <sz val="12.0"/>
      <color theme="1"/>
      <name val="Arial"/>
      <scheme val="minor"/>
    </font>
    <font>
      <b/>
      <sz val="11.0"/>
      <color theme="1"/>
      <name val="Arial"/>
    </font>
    <font/>
    <font>
      <u/>
      <sz val="12.0"/>
      <color rgb="FF0000FF"/>
      <name val="Arial"/>
    </font>
    <font>
      <sz val="12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i/>
      <sz val="11.0"/>
      <color theme="1"/>
      <name val="Calibri"/>
    </font>
    <font>
      <b/>
      <sz val="12.0"/>
      <color theme="1"/>
      <name val="Arial"/>
    </font>
    <font>
      <b/>
      <sz val="12.0"/>
      <color rgb="FF000000"/>
      <name val="Arial"/>
    </font>
    <font>
      <u/>
      <sz val="11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1">
    <border/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4" fontId="4" numFmtId="0" xfId="0" applyAlignment="1" applyBorder="1" applyFill="1" applyFont="1">
      <alignment vertical="bottom"/>
    </xf>
    <xf borderId="4" fillId="0" fontId="5" numFmtId="0" xfId="0" applyBorder="1" applyFont="1"/>
    <xf borderId="5" fillId="4" fontId="4" numFmtId="0" xfId="0" applyAlignment="1" applyBorder="1" applyFill="1" applyFont="1">
      <alignment vertical="bottom"/>
    </xf>
    <xf borderId="5" fillId="4" fontId="4" numFmtId="0" xfId="0" applyAlignment="1" applyBorder="1" applyFill="1" applyFont="1">
      <alignment shrinkToFit="0" vertical="bottom" wrapText="1"/>
    </xf>
    <xf borderId="2" fillId="5" fontId="6" numFmtId="0" xfId="0" applyAlignment="1" applyBorder="1" applyFill="1" applyFont="1">
      <alignment horizontal="left" readingOrder="0" shrinkToFit="0" vertical="center" wrapText="1"/>
    </xf>
    <xf borderId="1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6" fontId="7" numFmtId="0" xfId="0" applyAlignment="1" applyBorder="1" applyFill="1" applyFont="1">
      <alignment horizontal="center" readingOrder="0" vertical="center"/>
    </xf>
    <xf borderId="0" fillId="0" fontId="8" numFmtId="0" xfId="0" applyFont="1"/>
    <xf borderId="2" fillId="4" fontId="4" numFmtId="0" xfId="0" applyAlignment="1" applyBorder="1" applyFill="1" applyFont="1">
      <alignment vertical="bottom"/>
    </xf>
    <xf borderId="7" fillId="6" fontId="7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5" fillId="0" fontId="10" numFmtId="0" xfId="0" applyAlignment="1" applyBorder="1" applyFont="1">
      <alignment readingOrder="0" vertical="bottom"/>
    </xf>
    <xf borderId="3" fillId="6" fontId="7" numFmtId="0" xfId="0" applyAlignment="1" applyBorder="1" applyFill="1" applyFont="1">
      <alignment horizontal="center" readingOrder="0" shrinkToFit="0" vertical="center" wrapText="1"/>
    </xf>
    <xf borderId="8" fillId="0" fontId="5" numFmtId="0" xfId="0" applyBorder="1" applyFont="1"/>
    <xf borderId="3" fillId="6" fontId="7" numFmtId="0" xfId="0" applyAlignment="1" applyBorder="1" applyFill="1" applyFont="1">
      <alignment horizontal="center" readingOrder="0" vertical="center"/>
    </xf>
    <xf borderId="9" fillId="4" fontId="4" numFmtId="0" xfId="0" applyAlignment="1" applyBorder="1" applyFill="1" applyFont="1">
      <alignment vertical="bottom"/>
    </xf>
    <xf borderId="0" fillId="0" fontId="1" numFmtId="0" xfId="0" applyAlignment="1" applyFont="1">
      <alignment readingOrder="0" vertical="bottom"/>
    </xf>
    <xf borderId="10" fillId="0" fontId="5" numFmtId="0" xfId="0" applyBorder="1" applyFont="1"/>
    <xf borderId="11" fillId="0" fontId="11" numFmtId="164" xfId="0" applyAlignment="1" applyBorder="1" applyFont="1" applyNumberFormat="1">
      <alignment readingOrder="0" vertical="center"/>
    </xf>
    <xf borderId="0" fillId="0" fontId="12" numFmtId="0" xfId="0" applyAlignment="1" applyFont="1">
      <alignment readingOrder="0"/>
    </xf>
    <xf borderId="11" fillId="0" fontId="11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vertical="bottom" wrapText="1"/>
    </xf>
    <xf borderId="12" fillId="4" fontId="1" numFmtId="0" xfId="0" applyAlignment="1" applyBorder="1" applyFill="1" applyFont="1">
      <alignment vertical="bottom"/>
    </xf>
    <xf borderId="10" fillId="4" fontId="4" numFmtId="0" xfId="0" applyAlignment="1" applyBorder="1" applyFill="1" applyFont="1">
      <alignment vertical="bottom"/>
    </xf>
    <xf borderId="2" fillId="3" fontId="1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12" fillId="0" fontId="5" numFmtId="0" xfId="0" applyBorder="1" applyFont="1"/>
    <xf borderId="10" fillId="0" fontId="8" numFmtId="0" xfId="0" applyAlignment="1" applyBorder="1" applyFont="1">
      <alignment readingOrder="0" shrinkToFit="0" vertical="bottom" wrapText="1"/>
    </xf>
    <xf borderId="13" fillId="7" fontId="13" numFmtId="0" xfId="0" applyAlignment="1" applyBorder="1" applyFill="1" applyFont="1">
      <alignment horizontal="center" readingOrder="0" shrinkToFit="0" vertical="center" wrapText="1"/>
    </xf>
    <xf borderId="14" fillId="0" fontId="5" numFmtId="0" xfId="0" applyBorder="1" applyFont="1"/>
    <xf borderId="15" fillId="0" fontId="14" numFmtId="0" xfId="0" applyAlignment="1" applyBorder="1" applyFont="1">
      <alignment horizontal="center" readingOrder="0"/>
    </xf>
    <xf borderId="16" fillId="0" fontId="5" numFmtId="0" xfId="0" applyBorder="1" applyFont="1"/>
    <xf borderId="17" fillId="4" fontId="4" numFmtId="0" xfId="0" applyAlignment="1" applyBorder="1" applyFill="1" applyFont="1">
      <alignment vertical="bottom"/>
    </xf>
    <xf borderId="10" fillId="0" fontId="8" numFmtId="0" xfId="0" applyAlignment="1" applyBorder="1" applyFont="1">
      <alignment shrinkToFit="0" vertical="bottom" wrapText="1"/>
    </xf>
    <xf borderId="4" fillId="8" fontId="11" numFmtId="0" xfId="0" applyAlignment="1" applyBorder="1" applyFill="1" applyFont="1">
      <alignment vertical="center"/>
    </xf>
    <xf borderId="15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" fillId="3" fontId="13" numFmtId="0" xfId="0" applyAlignment="1" applyBorder="1" applyFill="1" applyFont="1">
      <alignment horizontal="left" readingOrder="0" shrinkToFit="0" vertical="center" wrapText="1"/>
    </xf>
    <xf borderId="0" fillId="0" fontId="7" numFmtId="0" xfId="0" applyFont="1"/>
    <xf borderId="7" fillId="7" fontId="15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 vertical="bottom"/>
    </xf>
    <xf borderId="13" fillId="7" fontId="16" numFmtId="0" xfId="0" applyAlignment="1" applyBorder="1" applyFill="1" applyFont="1">
      <alignment horizontal="center" readingOrder="0" vertical="center"/>
    </xf>
    <xf borderId="13" fillId="3" fontId="15" numFmtId="0" xfId="0" applyAlignment="1" applyBorder="1" applyFill="1" applyFont="1">
      <alignment horizontal="center" readingOrder="0" shrinkToFit="0" vertical="center" wrapText="1"/>
    </xf>
    <xf borderId="2" fillId="9" fontId="3" numFmtId="0" xfId="0" applyAlignment="1" applyBorder="1" applyFill="1" applyFont="1">
      <alignment horizontal="center" readingOrder="0" vertical="center"/>
    </xf>
    <xf borderId="7" fillId="3" fontId="15" numFmtId="0" xfId="0" applyAlignment="1" applyBorder="1" applyFill="1" applyFont="1">
      <alignment horizontal="center" vertical="center"/>
    </xf>
    <xf borderId="2" fillId="10" fontId="7" numFmtId="0" xfId="0" applyAlignment="1" applyBorder="1" applyFill="1" applyFont="1">
      <alignment horizontal="center" readingOrder="0"/>
    </xf>
    <xf borderId="9" fillId="0" fontId="5" numFmtId="0" xfId="0" applyBorder="1" applyFont="1"/>
    <xf borderId="0" fillId="0" fontId="17" numFmtId="0" xfId="0" applyAlignment="1" applyFont="1">
      <alignment readingOrder="0" vertical="bottom"/>
    </xf>
    <xf borderId="7" fillId="10" fontId="7" numFmtId="0" xfId="0" applyAlignment="1" applyBorder="1" applyFill="1" applyFont="1">
      <alignment horizontal="center" readingOrder="0"/>
    </xf>
    <xf borderId="10" fillId="11" fontId="8" numFmtId="0" xfId="0" applyAlignment="1" applyBorder="1" applyFill="1" applyFont="1">
      <alignment readingOrder="0" vertical="bottom"/>
    </xf>
    <xf borderId="7" fillId="7" fontId="15" numFmtId="0" xfId="0" applyAlignment="1" applyBorder="1" applyFill="1" applyFont="1">
      <alignment horizontal="center" readingOrder="0" vertical="center"/>
    </xf>
    <xf borderId="2" fillId="10" fontId="7" numFmtId="0" xfId="0" applyAlignment="1" applyBorder="1" applyFill="1" applyFont="1">
      <alignment readingOrder="0"/>
    </xf>
    <xf borderId="11" fillId="0" fontId="7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readingOrder="0"/>
    </xf>
    <xf borderId="5" fillId="8" fontId="7" numFmtId="0" xfId="0" applyBorder="1" applyFill="1" applyFont="1"/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3" fillId="0" fontId="1" numFmtId="0" xfId="0" applyBorder="1" applyFont="1"/>
    <xf borderId="20" fillId="0" fontId="1" numFmtId="0" xfId="0" applyAlignment="1" applyBorder="1" applyFont="1">
      <alignment vertical="bottom"/>
    </xf>
    <xf borderId="20" fillId="0" fontId="5" numFmtId="0" xfId="0" applyBorder="1" applyFont="1"/>
    <xf borderId="0" fillId="0" fontId="12" numFmtId="0" xfId="0" applyAlignment="1" applyFont="1">
      <alignment readingOrder="0" shrinkToFit="0" wrapText="1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readingOrder="0"/>
    </xf>
    <xf borderId="3" fillId="0" fontId="8" numFmtId="0" xfId="0" applyBorder="1" applyFont="1"/>
    <xf borderId="3" fillId="0" fontId="1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2oyY-t5lZSZhv0DYItE3V9-Djn5acGgRNf7hyen97A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69.13"/>
  </cols>
  <sheetData>
    <row r="1" ht="58.5" customHeight="1">
      <c r="A1" s="8" t="s">
        <v>1</v>
      </c>
      <c r="B1" s="5"/>
      <c r="C1" s="5"/>
      <c r="D1" s="5"/>
      <c r="E1" s="5"/>
      <c r="F1" s="10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51.0" customHeight="1">
      <c r="A2" s="30" t="s">
        <v>17</v>
      </c>
      <c r="B2" s="5"/>
      <c r="C2" s="5"/>
      <c r="D2" s="34" t="s">
        <v>30</v>
      </c>
      <c r="E2" s="35"/>
      <c r="F2" s="37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33.75" customHeight="1">
      <c r="A3" s="44" t="s">
        <v>39</v>
      </c>
      <c r="B3" s="5"/>
      <c r="C3" s="10"/>
      <c r="D3" s="46" t="s">
        <v>43</v>
      </c>
      <c r="E3" s="48" t="s">
        <v>46</v>
      </c>
      <c r="F3" s="3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21.0" customHeight="1">
      <c r="A4" s="49" t="s">
        <v>49</v>
      </c>
      <c r="B4" s="51" t="s">
        <v>52</v>
      </c>
      <c r="C4" s="51" t="s">
        <v>53</v>
      </c>
      <c r="D4" s="43"/>
      <c r="E4" s="53"/>
      <c r="F4" s="2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21.75" customHeight="1">
      <c r="A5" s="53"/>
      <c r="B5" s="43"/>
      <c r="C5" s="43"/>
      <c r="D5" s="46" t="s">
        <v>62</v>
      </c>
      <c r="E5" s="57" t="s">
        <v>64</v>
      </c>
      <c r="F5" s="57" t="s">
        <v>66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60">
        <v>1.0</v>
      </c>
      <c r="B6" s="61" t="s">
        <v>69</v>
      </c>
      <c r="C6" s="63" t="s">
        <v>67</v>
      </c>
      <c r="D6" s="63" t="s">
        <v>74</v>
      </c>
      <c r="E6" s="64"/>
      <c r="F6" s="6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61">
        <v>2.0</v>
      </c>
      <c r="B7" s="61" t="s">
        <v>78</v>
      </c>
      <c r="C7" s="63" t="s">
        <v>80</v>
      </c>
      <c r="D7" s="63" t="s">
        <v>74</v>
      </c>
      <c r="E7" s="67"/>
      <c r="F7" s="6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60">
        <v>3.0</v>
      </c>
      <c r="B8" s="61" t="s">
        <v>84</v>
      </c>
      <c r="C8" s="63" t="s">
        <v>80</v>
      </c>
      <c r="D8" s="63" t="s">
        <v>74</v>
      </c>
      <c r="E8" s="61"/>
      <c r="F8" s="67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61">
        <v>4.0</v>
      </c>
      <c r="B9" s="61" t="s">
        <v>86</v>
      </c>
      <c r="C9" s="63" t="s">
        <v>80</v>
      </c>
      <c r="D9" s="63" t="s">
        <v>74</v>
      </c>
      <c r="E9" s="67"/>
      <c r="F9" s="67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60">
        <v>5.0</v>
      </c>
      <c r="B10" s="61" t="s">
        <v>87</v>
      </c>
      <c r="C10" s="63" t="s">
        <v>67</v>
      </c>
      <c r="D10" s="63" t="s">
        <v>74</v>
      </c>
      <c r="E10" s="67"/>
      <c r="F10" s="67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61">
        <v>6.0</v>
      </c>
      <c r="B11" s="61" t="s">
        <v>89</v>
      </c>
      <c r="C11" s="63" t="s">
        <v>80</v>
      </c>
      <c r="D11" s="63" t="s">
        <v>74</v>
      </c>
      <c r="E11" s="67"/>
      <c r="F11" s="67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60">
        <v>7.0</v>
      </c>
      <c r="B12" s="61" t="s">
        <v>90</v>
      </c>
      <c r="C12" s="63" t="s">
        <v>67</v>
      </c>
      <c r="D12" s="63" t="s">
        <v>74</v>
      </c>
      <c r="E12" s="67"/>
      <c r="F12" s="67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61">
        <v>8.0</v>
      </c>
      <c r="B13" s="61" t="s">
        <v>92</v>
      </c>
      <c r="C13" s="63" t="s">
        <v>67</v>
      </c>
      <c r="D13" s="63" t="s">
        <v>74</v>
      </c>
      <c r="E13" s="67"/>
      <c r="F13" s="6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60">
        <v>9.0</v>
      </c>
      <c r="B14" s="61" t="s">
        <v>95</v>
      </c>
      <c r="C14" s="63" t="s">
        <v>80</v>
      </c>
      <c r="D14" s="63" t="s">
        <v>74</v>
      </c>
      <c r="E14" s="67"/>
      <c r="F14" s="6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61">
        <v>10.0</v>
      </c>
      <c r="B15" s="61" t="s">
        <v>98</v>
      </c>
      <c r="C15" s="63" t="s">
        <v>80</v>
      </c>
      <c r="D15" s="63" t="s">
        <v>74</v>
      </c>
      <c r="E15" s="67"/>
      <c r="F15" s="6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60">
        <v>11.0</v>
      </c>
      <c r="B16" s="61" t="s">
        <v>100</v>
      </c>
      <c r="C16" s="63" t="s">
        <v>101</v>
      </c>
      <c r="D16" s="63" t="s">
        <v>74</v>
      </c>
      <c r="E16" s="65"/>
      <c r="F16" s="65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>
      <c r="A17" s="61">
        <v>12.0</v>
      </c>
      <c r="B17" s="61" t="s">
        <v>102</v>
      </c>
      <c r="C17" s="63" t="s">
        <v>101</v>
      </c>
      <c r="D17" s="63" t="s">
        <v>74</v>
      </c>
      <c r="E17" s="65"/>
      <c r="F17" s="65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>
      <c r="A18" s="60">
        <v>13.0</v>
      </c>
      <c r="B18" s="61" t="s">
        <v>104</v>
      </c>
      <c r="C18" s="63" t="s">
        <v>67</v>
      </c>
      <c r="D18" s="63" t="s">
        <v>74</v>
      </c>
      <c r="E18" s="67"/>
      <c r="F18" s="67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61">
        <v>14.0</v>
      </c>
      <c r="B19" s="61" t="s">
        <v>108</v>
      </c>
      <c r="C19" s="63" t="s">
        <v>67</v>
      </c>
      <c r="D19" s="63" t="s">
        <v>74</v>
      </c>
      <c r="E19" s="67"/>
      <c r="F19" s="67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60">
        <v>15.0</v>
      </c>
      <c r="B20" s="61" t="s">
        <v>110</v>
      </c>
      <c r="C20" s="63" t="s">
        <v>101</v>
      </c>
      <c r="D20" s="63" t="s">
        <v>74</v>
      </c>
      <c r="E20" s="65"/>
      <c r="F20" s="65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>
      <c r="A21" s="61">
        <v>16.0</v>
      </c>
      <c r="B21" s="61" t="s">
        <v>111</v>
      </c>
      <c r="C21" s="63" t="s">
        <v>101</v>
      </c>
      <c r="D21" s="63" t="s">
        <v>74</v>
      </c>
      <c r="E21" s="65"/>
      <c r="F21" s="65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>
      <c r="A22" s="61">
        <v>17.0</v>
      </c>
      <c r="B22" s="61" t="s">
        <v>112</v>
      </c>
      <c r="C22" s="63" t="s">
        <v>101</v>
      </c>
      <c r="D22" s="63" t="s">
        <v>113</v>
      </c>
      <c r="E22" s="67"/>
      <c r="F22" s="67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61">
        <v>18.0</v>
      </c>
      <c r="B23" s="61" t="s">
        <v>114</v>
      </c>
      <c r="C23" s="63" t="s">
        <v>101</v>
      </c>
      <c r="D23" s="63" t="s">
        <v>113</v>
      </c>
      <c r="E23" s="67"/>
      <c r="F23" s="67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61">
        <v>19.0</v>
      </c>
      <c r="B24" s="61" t="s">
        <v>115</v>
      </c>
      <c r="C24" s="63" t="s">
        <v>80</v>
      </c>
      <c r="D24" s="63" t="s">
        <v>74</v>
      </c>
      <c r="E24" s="67"/>
      <c r="F24" s="67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72">
        <v>20.0</v>
      </c>
      <c r="B25" s="72" t="s">
        <v>116</v>
      </c>
      <c r="C25" s="63" t="s">
        <v>101</v>
      </c>
      <c r="D25" s="63" t="s">
        <v>113</v>
      </c>
      <c r="E25" s="25" t="s">
        <v>11</v>
      </c>
      <c r="F25" s="7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72">
        <v>21.0</v>
      </c>
      <c r="B26" s="72" t="s">
        <v>117</v>
      </c>
      <c r="C26" s="63" t="s">
        <v>118</v>
      </c>
      <c r="D26" s="63" t="s">
        <v>113</v>
      </c>
      <c r="E26" s="25" t="s">
        <v>119</v>
      </c>
      <c r="F26" s="7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72">
        <v>22.0</v>
      </c>
      <c r="B27" s="74" t="s">
        <v>120</v>
      </c>
      <c r="C27" s="63" t="s">
        <v>80</v>
      </c>
      <c r="D27" s="63" t="s">
        <v>74</v>
      </c>
      <c r="E27" s="73"/>
      <c r="F27" s="7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72">
        <v>23.0</v>
      </c>
      <c r="B28" s="72" t="s">
        <v>121</v>
      </c>
      <c r="C28" s="63" t="s">
        <v>80</v>
      </c>
      <c r="D28" s="63" t="s">
        <v>74</v>
      </c>
      <c r="E28" s="73"/>
      <c r="F28" s="7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72">
        <v>24.0</v>
      </c>
      <c r="B29" s="72" t="s">
        <v>122</v>
      </c>
      <c r="C29" s="63" t="s">
        <v>101</v>
      </c>
      <c r="D29" s="63" t="s">
        <v>74</v>
      </c>
      <c r="E29" s="73"/>
      <c r="F29" s="7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72">
        <v>25.0</v>
      </c>
      <c r="B30" s="72" t="s">
        <v>123</v>
      </c>
      <c r="C30" s="63" t="s">
        <v>67</v>
      </c>
      <c r="D30" s="63" t="s">
        <v>74</v>
      </c>
      <c r="E30" s="73"/>
      <c r="F30" s="7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72">
        <v>26.0</v>
      </c>
      <c r="B31" s="72" t="s">
        <v>124</v>
      </c>
      <c r="C31" s="63" t="s">
        <v>67</v>
      </c>
      <c r="D31" s="63" t="s">
        <v>74</v>
      </c>
      <c r="E31" s="73"/>
      <c r="F31" s="7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72">
        <v>27.0</v>
      </c>
      <c r="B32" s="72" t="s">
        <v>125</v>
      </c>
      <c r="C32" s="63" t="s">
        <v>67</v>
      </c>
      <c r="D32" s="63" t="s">
        <v>74</v>
      </c>
      <c r="E32" s="73"/>
      <c r="F32" s="7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72">
        <v>28.0</v>
      </c>
      <c r="B33" s="72" t="s">
        <v>126</v>
      </c>
      <c r="C33" s="63" t="s">
        <v>67</v>
      </c>
      <c r="D33" s="63" t="s">
        <v>74</v>
      </c>
      <c r="E33" s="73"/>
      <c r="F33" s="7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72">
        <v>29.0</v>
      </c>
      <c r="B34" s="72" t="s">
        <v>127</v>
      </c>
      <c r="C34" s="63" t="s">
        <v>80</v>
      </c>
      <c r="D34" s="63" t="s">
        <v>113</v>
      </c>
      <c r="E34" s="25" t="s">
        <v>128</v>
      </c>
      <c r="F34" s="7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72">
        <v>30.0</v>
      </c>
      <c r="B35" s="72" t="s">
        <v>129</v>
      </c>
      <c r="C35" s="63" t="s">
        <v>101</v>
      </c>
      <c r="D35" s="63" t="s">
        <v>74</v>
      </c>
      <c r="E35" s="73"/>
      <c r="F35" s="7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72">
        <v>31.0</v>
      </c>
      <c r="B36" s="72" t="s">
        <v>130</v>
      </c>
      <c r="C36" s="63" t="s">
        <v>80</v>
      </c>
      <c r="D36" s="63" t="s">
        <v>113</v>
      </c>
      <c r="E36" s="25" t="s">
        <v>131</v>
      </c>
      <c r="F36" s="7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72">
        <v>32.0</v>
      </c>
      <c r="B37" s="72" t="s">
        <v>132</v>
      </c>
      <c r="C37" s="63" t="s">
        <v>80</v>
      </c>
      <c r="D37" s="63" t="s">
        <v>113</v>
      </c>
      <c r="E37" s="25" t="s">
        <v>131</v>
      </c>
      <c r="F37" s="7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72">
        <v>33.0</v>
      </c>
      <c r="B38" s="72" t="s">
        <v>133</v>
      </c>
      <c r="C38" s="63" t="s">
        <v>80</v>
      </c>
      <c r="D38" s="63" t="s">
        <v>113</v>
      </c>
      <c r="E38" s="25" t="s">
        <v>131</v>
      </c>
      <c r="F38" s="7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72">
        <v>34.0</v>
      </c>
      <c r="B39" s="72" t="s">
        <v>134</v>
      </c>
      <c r="C39" s="63" t="s">
        <v>80</v>
      </c>
      <c r="D39" s="63" t="s">
        <v>113</v>
      </c>
      <c r="E39" s="25" t="s">
        <v>131</v>
      </c>
      <c r="F39" s="7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72">
        <v>35.0</v>
      </c>
      <c r="B40" s="72" t="s">
        <v>135</v>
      </c>
      <c r="C40" s="63" t="s">
        <v>80</v>
      </c>
      <c r="D40" s="63" t="s">
        <v>113</v>
      </c>
      <c r="E40" s="25" t="s">
        <v>131</v>
      </c>
      <c r="F40" s="7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72">
        <v>36.0</v>
      </c>
      <c r="B41" s="72" t="s">
        <v>136</v>
      </c>
      <c r="C41" s="63" t="s">
        <v>80</v>
      </c>
      <c r="D41" s="63" t="s">
        <v>74</v>
      </c>
      <c r="E41" s="73"/>
      <c r="F41" s="7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72">
        <v>37.0</v>
      </c>
      <c r="B42" s="72" t="s">
        <v>137</v>
      </c>
      <c r="C42" s="63" t="s">
        <v>67</v>
      </c>
      <c r="D42" s="63" t="s">
        <v>138</v>
      </c>
      <c r="E42" s="73"/>
      <c r="F42" s="7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</sheetData>
  <mergeCells count="9">
    <mergeCell ref="B4:B5"/>
    <mergeCell ref="C4:C5"/>
    <mergeCell ref="A1:F1"/>
    <mergeCell ref="A2:C2"/>
    <mergeCell ref="D2:F2"/>
    <mergeCell ref="A3:C3"/>
    <mergeCell ref="D3:D4"/>
    <mergeCell ref="E3:F4"/>
    <mergeCell ref="A4:A5"/>
  </mergeCells>
  <dataValidations>
    <dataValidation type="list" allowBlank="1" showErrorMessage="1" sqref="D6:D41">
      <formula1>"Passed,Failed,Skipped"</formula1>
    </dataValidation>
    <dataValidation type="list" allowBlank="1" showErrorMessage="1" sqref="D42">
      <formula1>"Passed,Failed,Skipped,🟡 Blocked"</formula1>
    </dataValidation>
    <dataValidation type="list" allowBlank="1" sqref="C6:C42">
      <formula1>"Critical,High,Medium,Low"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63"/>
  </cols>
  <sheetData>
    <row r="1" ht="32.25" customHeight="1">
      <c r="A1" s="3" t="s">
        <v>3</v>
      </c>
      <c r="B1" s="5"/>
      <c r="C1" s="5"/>
      <c r="D1" s="5"/>
      <c r="E1" s="5"/>
      <c r="F1" s="5"/>
      <c r="G1" s="10"/>
    </row>
    <row r="2" ht="46.5" customHeight="1">
      <c r="A2" s="12" t="s">
        <v>8</v>
      </c>
      <c r="B2" s="15" t="s">
        <v>9</v>
      </c>
      <c r="C2" s="15" t="s">
        <v>10</v>
      </c>
      <c r="D2" s="18" t="s">
        <v>13</v>
      </c>
      <c r="E2" s="15" t="s">
        <v>15</v>
      </c>
      <c r="F2" s="20" t="s">
        <v>16</v>
      </c>
      <c r="G2" s="15" t="s">
        <v>19</v>
      </c>
    </row>
    <row r="3" ht="34.5" customHeight="1">
      <c r="A3" s="24">
        <v>46241.0</v>
      </c>
      <c r="B3" s="26">
        <v>37.0</v>
      </c>
      <c r="C3" s="26">
        <v>36.0</v>
      </c>
      <c r="D3" s="40">
        <f>ROUND(C3/B3*100, 2)</f>
        <v>97.3</v>
      </c>
      <c r="E3" s="26">
        <v>27.0</v>
      </c>
      <c r="F3" s="40">
        <f>ROUND(E3/C3*100, 2)</f>
        <v>75</v>
      </c>
      <c r="G3" s="26">
        <v>10.0</v>
      </c>
    </row>
    <row r="4">
      <c r="A4" s="45"/>
      <c r="B4" s="45"/>
      <c r="C4" s="45"/>
      <c r="D4" s="45"/>
      <c r="E4" s="45"/>
      <c r="F4" s="45"/>
      <c r="G4" s="45"/>
    </row>
    <row r="5">
      <c r="A5" s="45"/>
      <c r="B5" s="45"/>
      <c r="C5" s="45"/>
      <c r="D5" s="45"/>
      <c r="E5" s="45"/>
      <c r="F5" s="45"/>
      <c r="G5" s="45"/>
    </row>
    <row r="6">
      <c r="A6" s="45"/>
      <c r="B6" s="45"/>
      <c r="C6" s="45"/>
      <c r="D6" s="45"/>
      <c r="E6" s="45"/>
      <c r="F6" s="45"/>
      <c r="G6" s="45"/>
    </row>
    <row r="7" ht="27.0" customHeight="1">
      <c r="A7" s="50" t="s">
        <v>51</v>
      </c>
      <c r="B7" s="5"/>
      <c r="C7" s="10"/>
      <c r="D7" s="45"/>
      <c r="E7" s="45"/>
      <c r="F7" s="45"/>
      <c r="G7" s="45"/>
    </row>
    <row r="8" ht="23.25" customHeight="1">
      <c r="A8" s="52" t="s">
        <v>54</v>
      </c>
      <c r="B8" s="10"/>
      <c r="C8" s="55" t="s">
        <v>58</v>
      </c>
      <c r="D8" s="45"/>
      <c r="E8" s="45"/>
      <c r="F8" s="45"/>
      <c r="G8" s="45"/>
    </row>
    <row r="9" ht="23.25" customHeight="1">
      <c r="A9" s="58" t="s">
        <v>61</v>
      </c>
      <c r="B9" s="59">
        <v>4.0</v>
      </c>
      <c r="C9" s="43"/>
      <c r="D9" s="45"/>
      <c r="E9" s="45"/>
      <c r="F9" s="45"/>
      <c r="G9" s="45"/>
    </row>
    <row r="10" ht="23.25" customHeight="1">
      <c r="A10" s="58" t="s">
        <v>67</v>
      </c>
      <c r="B10" s="59">
        <v>0.0</v>
      </c>
      <c r="C10" s="62">
        <f>ROUND(B10/B9%, 2)</f>
        <v>0</v>
      </c>
      <c r="D10" s="45"/>
      <c r="E10" s="45"/>
      <c r="F10" s="45"/>
      <c r="G10" s="45"/>
    </row>
    <row r="11" ht="23.25" customHeight="1">
      <c r="A11" s="58" t="s">
        <v>72</v>
      </c>
      <c r="B11" s="59">
        <v>1.0</v>
      </c>
      <c r="C11" s="62">
        <f>ROUND(B11/B9%, 2)</f>
        <v>25</v>
      </c>
      <c r="D11" s="45"/>
      <c r="E11" s="45"/>
      <c r="F11" s="45"/>
      <c r="G11" s="45"/>
    </row>
    <row r="12" ht="23.25" customHeight="1">
      <c r="A12" s="58" t="s">
        <v>70</v>
      </c>
      <c r="B12" s="59">
        <v>2.0</v>
      </c>
      <c r="C12" s="62">
        <f>ROUND(B12/B9%, 2)</f>
        <v>50</v>
      </c>
      <c r="D12" s="45"/>
      <c r="E12" s="45"/>
      <c r="F12" s="45"/>
      <c r="G12" s="45"/>
    </row>
    <row r="13" ht="23.25" customHeight="1">
      <c r="A13" s="58" t="s">
        <v>83</v>
      </c>
      <c r="B13" s="59">
        <v>1.0</v>
      </c>
      <c r="C13" s="62">
        <f>ROUND(B13/B9%, 2)</f>
        <v>25</v>
      </c>
      <c r="D13" s="45"/>
      <c r="E13" s="45"/>
      <c r="F13" s="45"/>
      <c r="G13" s="45"/>
    </row>
    <row r="14">
      <c r="A14" s="45"/>
      <c r="B14" s="45"/>
      <c r="C14" s="45"/>
      <c r="D14" s="45"/>
      <c r="E14" s="45"/>
      <c r="F14" s="45"/>
      <c r="G14" s="45"/>
    </row>
    <row r="15">
      <c r="A15" s="45"/>
      <c r="B15" s="45"/>
      <c r="C15" s="45"/>
      <c r="D15" s="45"/>
      <c r="E15" s="45"/>
      <c r="F15" s="45"/>
      <c r="G15" s="45"/>
    </row>
  </sheetData>
  <mergeCells count="4">
    <mergeCell ref="A1:G1"/>
    <mergeCell ref="A7:C7"/>
    <mergeCell ref="A8:B8"/>
    <mergeCell ref="C8:C9"/>
  </mergeCells>
  <conditionalFormatting sqref="C3">
    <cfRule type="notContainsBlanks" dxfId="0" priority="1">
      <formula>LEN(TRIM(C3))&gt;0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25"/>
  </cols>
  <sheetData>
    <row r="1">
      <c r="A1" s="1" t="s">
        <v>0</v>
      </c>
    </row>
    <row r="2" ht="32.25" customHeight="1">
      <c r="A2" s="2" t="s">
        <v>2</v>
      </c>
      <c r="B2" s="9"/>
      <c r="C2" s="9"/>
      <c r="D2" s="11"/>
    </row>
    <row r="3">
      <c r="A3" s="16" t="b">
        <v>1</v>
      </c>
      <c r="B3" s="1" t="s">
        <v>12</v>
      </c>
      <c r="D3" s="19"/>
    </row>
    <row r="4">
      <c r="A4" s="16" t="b">
        <v>1</v>
      </c>
      <c r="B4" s="22" t="s">
        <v>18</v>
      </c>
      <c r="D4" s="19"/>
    </row>
    <row r="5">
      <c r="A5" s="16" t="b">
        <v>1</v>
      </c>
      <c r="B5" s="27" t="s">
        <v>21</v>
      </c>
      <c r="D5" s="19"/>
    </row>
    <row r="6">
      <c r="A6" s="16" t="b">
        <v>1</v>
      </c>
      <c r="B6" s="27" t="s">
        <v>25</v>
      </c>
      <c r="D6" s="19"/>
    </row>
    <row r="7">
      <c r="A7" s="16" t="b">
        <v>1</v>
      </c>
      <c r="B7" s="31" t="s">
        <v>26</v>
      </c>
      <c r="D7" s="19"/>
    </row>
    <row r="8" ht="33.0" customHeight="1">
      <c r="A8" s="2" t="s">
        <v>28</v>
      </c>
      <c r="B8" s="9"/>
      <c r="C8" s="9"/>
      <c r="D8" s="11"/>
    </row>
    <row r="9">
      <c r="A9" s="36" t="s">
        <v>36</v>
      </c>
      <c r="B9" s="41"/>
      <c r="C9" s="41"/>
      <c r="D9" s="42"/>
    </row>
    <row r="10">
      <c r="A10" s="16" t="b">
        <v>1</v>
      </c>
      <c r="B10" s="27" t="s">
        <v>41</v>
      </c>
      <c r="D10" s="19"/>
    </row>
    <row r="11">
      <c r="A11" s="16" t="b">
        <v>1</v>
      </c>
      <c r="B11" s="27" t="s">
        <v>42</v>
      </c>
      <c r="D11" s="19"/>
    </row>
    <row r="12">
      <c r="A12" s="16" t="b">
        <v>1</v>
      </c>
      <c r="B12" s="27" t="s">
        <v>44</v>
      </c>
      <c r="D12" s="19"/>
    </row>
    <row r="13">
      <c r="A13" s="16" t="b">
        <v>1</v>
      </c>
      <c r="B13" s="27" t="s">
        <v>45</v>
      </c>
      <c r="D13" s="19"/>
    </row>
    <row r="14">
      <c r="A14" s="16" t="b">
        <v>1</v>
      </c>
      <c r="B14" s="54" t="s">
        <v>48</v>
      </c>
      <c r="D14" s="19"/>
    </row>
    <row r="15">
      <c r="A15" s="16" t="b">
        <v>1</v>
      </c>
      <c r="B15" s="54" t="s">
        <v>63</v>
      </c>
      <c r="D15" s="19"/>
    </row>
    <row r="16">
      <c r="A16" s="16" t="b">
        <v>1</v>
      </c>
      <c r="B16" s="54" t="s">
        <v>68</v>
      </c>
      <c r="D16" s="19"/>
    </row>
    <row r="17">
      <c r="A17" s="16" t="b">
        <v>1</v>
      </c>
      <c r="B17" s="54" t="s">
        <v>71</v>
      </c>
      <c r="D17" s="19"/>
    </row>
    <row r="18">
      <c r="A18" s="16" t="b">
        <v>1</v>
      </c>
      <c r="B18" s="54" t="s">
        <v>73</v>
      </c>
      <c r="D18" s="19"/>
    </row>
    <row r="19">
      <c r="A19" s="16" t="b">
        <v>1</v>
      </c>
      <c r="B19" s="66" t="s">
        <v>76</v>
      </c>
      <c r="D19" s="19"/>
    </row>
    <row r="20">
      <c r="A20" s="16" t="b">
        <v>1</v>
      </c>
      <c r="B20" s="54" t="s">
        <v>82</v>
      </c>
      <c r="D20" s="19"/>
    </row>
    <row r="21">
      <c r="A21" s="68" t="s">
        <v>85</v>
      </c>
      <c r="B21" s="69"/>
      <c r="C21" s="69"/>
      <c r="D21" s="69"/>
    </row>
    <row r="22">
      <c r="A22" s="70" t="s">
        <v>88</v>
      </c>
    </row>
  </sheetData>
  <mergeCells count="22">
    <mergeCell ref="A1:D1"/>
    <mergeCell ref="A2:D2"/>
    <mergeCell ref="B3:D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A21:D21"/>
    <mergeCell ref="A22:D22"/>
    <mergeCell ref="A8:D8"/>
    <mergeCell ref="A9:D9"/>
    <mergeCell ref="B10:D10"/>
    <mergeCell ref="B11:D11"/>
    <mergeCell ref="B12:D12"/>
    <mergeCell ref="B13:D13"/>
    <mergeCell ref="B14:D14"/>
  </mergeCells>
  <hyperlinks>
    <hyperlink display="I've added a total number of tests to this cell" location="Report!B3" ref="B14"/>
    <hyperlink display="I've added a number of executed tests to this cell" location="Report!C3" ref="B15"/>
    <hyperlink display="I've added a number of passed tests to this cell" location="Report!E3" ref="B16"/>
    <hyperlink display="I've added a number of failed tests to this cell" location="Report!G3" ref="B17"/>
    <hyperlink display="I've added a total number of found bugs to this cell" location="Report!B9" ref="B18"/>
    <hyperlink display="I've added the number of found bugs of each Severity to this range of cells" location="Report!B10:B13" ref="B20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114.88"/>
  </cols>
  <sheetData>
    <row r="1">
      <c r="A1" s="4" t="s">
        <v>4</v>
      </c>
      <c r="B1" s="6" t="s">
        <v>5</v>
      </c>
      <c r="C1" s="7" t="s">
        <v>6</v>
      </c>
    </row>
    <row r="2">
      <c r="A2" s="14" t="s">
        <v>7</v>
      </c>
      <c r="B2" s="10"/>
      <c r="C2" s="17" t="s">
        <v>11</v>
      </c>
    </row>
    <row r="3">
      <c r="A3" s="21" t="s">
        <v>14</v>
      </c>
      <c r="B3" s="23"/>
      <c r="C3" s="25" t="s">
        <v>20</v>
      </c>
    </row>
    <row r="4">
      <c r="A4" s="28" t="s">
        <v>22</v>
      </c>
      <c r="B4" s="29" t="s">
        <v>23</v>
      </c>
      <c r="C4" s="25" t="s">
        <v>24</v>
      </c>
    </row>
    <row r="5">
      <c r="A5" s="32"/>
      <c r="B5" s="29" t="s">
        <v>27</v>
      </c>
      <c r="C5" s="33" t="s">
        <v>29</v>
      </c>
    </row>
    <row r="6">
      <c r="A6" s="32"/>
      <c r="B6" s="29" t="s">
        <v>31</v>
      </c>
      <c r="C6" s="25" t="s">
        <v>32</v>
      </c>
    </row>
    <row r="7">
      <c r="A7" s="32"/>
      <c r="B7" s="29" t="s">
        <v>33</v>
      </c>
      <c r="C7" s="25" t="s">
        <v>34</v>
      </c>
    </row>
    <row r="8">
      <c r="A8" s="32"/>
      <c r="B8" s="38" t="s">
        <v>35</v>
      </c>
      <c r="C8" s="33" t="s">
        <v>37</v>
      </c>
    </row>
    <row r="9">
      <c r="A9" s="32"/>
      <c r="B9" s="23"/>
      <c r="C9" s="39" t="s">
        <v>38</v>
      </c>
    </row>
    <row r="10">
      <c r="A10" s="43"/>
      <c r="B10" s="29" t="s">
        <v>40</v>
      </c>
      <c r="C10" s="47"/>
    </row>
    <row r="11">
      <c r="A11" s="28" t="s">
        <v>47</v>
      </c>
      <c r="B11" s="29" t="s">
        <v>50</v>
      </c>
      <c r="C11" s="47" t="s">
        <v>55</v>
      </c>
    </row>
    <row r="12">
      <c r="A12" s="32"/>
      <c r="B12" s="29" t="s">
        <v>56</v>
      </c>
      <c r="C12" s="33" t="s">
        <v>57</v>
      </c>
    </row>
    <row r="13">
      <c r="A13" s="43"/>
      <c r="B13" s="29" t="s">
        <v>59</v>
      </c>
      <c r="C13" s="56" t="s">
        <v>60</v>
      </c>
    </row>
    <row r="14">
      <c r="A14" s="21" t="s">
        <v>65</v>
      </c>
      <c r="B14" s="23"/>
      <c r="C14" s="47" t="s">
        <v>70</v>
      </c>
    </row>
    <row r="15">
      <c r="A15" s="4" t="s">
        <v>4</v>
      </c>
      <c r="B15" s="6" t="s">
        <v>5</v>
      </c>
      <c r="C15" s="7" t="s">
        <v>6</v>
      </c>
    </row>
    <row r="16">
      <c r="A16" s="14" t="s">
        <v>7</v>
      </c>
      <c r="B16" s="10"/>
      <c r="C16" s="17" t="s">
        <v>11</v>
      </c>
    </row>
    <row r="17">
      <c r="A17" s="21" t="s">
        <v>14</v>
      </c>
      <c r="B17" s="23"/>
      <c r="C17" s="25" t="s">
        <v>75</v>
      </c>
    </row>
    <row r="18">
      <c r="A18" s="28" t="s">
        <v>22</v>
      </c>
      <c r="B18" s="29" t="s">
        <v>23</v>
      </c>
      <c r="C18" s="25" t="s">
        <v>24</v>
      </c>
    </row>
    <row r="19">
      <c r="A19" s="32"/>
      <c r="B19" s="29" t="s">
        <v>27</v>
      </c>
      <c r="C19" s="33" t="s">
        <v>77</v>
      </c>
    </row>
    <row r="20">
      <c r="A20" s="32"/>
      <c r="B20" s="29" t="s">
        <v>31</v>
      </c>
      <c r="C20" s="25" t="s">
        <v>79</v>
      </c>
    </row>
    <row r="21">
      <c r="A21" s="32"/>
      <c r="B21" s="29" t="s">
        <v>33</v>
      </c>
      <c r="C21" s="25" t="s">
        <v>81</v>
      </c>
    </row>
    <row r="22">
      <c r="A22" s="32"/>
      <c r="B22" s="38" t="s">
        <v>35</v>
      </c>
      <c r="C22" s="33" t="s">
        <v>37</v>
      </c>
    </row>
    <row r="23">
      <c r="A23" s="32"/>
      <c r="B23" s="23"/>
      <c r="C23" s="39" t="s">
        <v>38</v>
      </c>
    </row>
    <row r="24">
      <c r="A24" s="43"/>
      <c r="B24" s="29" t="s">
        <v>40</v>
      </c>
      <c r="C24" s="47"/>
    </row>
    <row r="25">
      <c r="A25" s="28" t="s">
        <v>47</v>
      </c>
      <c r="B25" s="29" t="s">
        <v>50</v>
      </c>
      <c r="C25" s="47" t="s">
        <v>55</v>
      </c>
    </row>
    <row r="26">
      <c r="A26" s="32"/>
      <c r="B26" s="29" t="s">
        <v>56</v>
      </c>
      <c r="C26" s="33" t="s">
        <v>57</v>
      </c>
    </row>
    <row r="27">
      <c r="A27" s="43"/>
      <c r="B27" s="29" t="s">
        <v>59</v>
      </c>
      <c r="C27" s="56" t="s">
        <v>60</v>
      </c>
    </row>
    <row r="28">
      <c r="A28" s="21" t="s">
        <v>65</v>
      </c>
      <c r="B28" s="23"/>
      <c r="C28" s="47" t="s">
        <v>70</v>
      </c>
    </row>
    <row r="29">
      <c r="A29" s="4" t="s">
        <v>4</v>
      </c>
      <c r="B29" s="6" t="s">
        <v>5</v>
      </c>
      <c r="C29" s="7" t="s">
        <v>6</v>
      </c>
    </row>
    <row r="30">
      <c r="A30" s="14" t="s">
        <v>7</v>
      </c>
      <c r="B30" s="10"/>
      <c r="C30" s="17" t="s">
        <v>11</v>
      </c>
    </row>
    <row r="31">
      <c r="A31" s="21" t="s">
        <v>14</v>
      </c>
      <c r="B31" s="23"/>
      <c r="C31" s="25" t="s">
        <v>91</v>
      </c>
    </row>
    <row r="32">
      <c r="A32" s="28" t="s">
        <v>22</v>
      </c>
      <c r="B32" s="29" t="s">
        <v>23</v>
      </c>
      <c r="C32" s="25" t="s">
        <v>24</v>
      </c>
    </row>
    <row r="33">
      <c r="A33" s="32"/>
      <c r="B33" s="29" t="s">
        <v>27</v>
      </c>
      <c r="C33" s="33" t="s">
        <v>93</v>
      </c>
    </row>
    <row r="34">
      <c r="A34" s="32"/>
      <c r="B34" s="29" t="s">
        <v>31</v>
      </c>
      <c r="C34" s="25" t="s">
        <v>94</v>
      </c>
    </row>
    <row r="35">
      <c r="A35" s="32"/>
      <c r="B35" s="29" t="s">
        <v>33</v>
      </c>
      <c r="C35" s="25" t="s">
        <v>96</v>
      </c>
    </row>
    <row r="36">
      <c r="A36" s="32"/>
      <c r="B36" s="38" t="s">
        <v>35</v>
      </c>
      <c r="C36" s="39" t="s">
        <v>97</v>
      </c>
    </row>
    <row r="37">
      <c r="A37" s="32"/>
      <c r="B37" s="23"/>
      <c r="C37" s="39" t="s">
        <v>38</v>
      </c>
    </row>
    <row r="38">
      <c r="A38" s="43"/>
      <c r="B38" s="29" t="s">
        <v>40</v>
      </c>
      <c r="C38" s="47" t="s">
        <v>99</v>
      </c>
    </row>
    <row r="39">
      <c r="A39" s="28" t="s">
        <v>47</v>
      </c>
      <c r="B39" s="29" t="s">
        <v>50</v>
      </c>
      <c r="C39" s="47" t="s">
        <v>55</v>
      </c>
    </row>
    <row r="40">
      <c r="A40" s="32"/>
      <c r="B40" s="29" t="s">
        <v>56</v>
      </c>
      <c r="C40" s="33" t="s">
        <v>57</v>
      </c>
    </row>
    <row r="41">
      <c r="A41" s="43"/>
      <c r="B41" s="29" t="s">
        <v>59</v>
      </c>
      <c r="C41" s="56" t="s">
        <v>60</v>
      </c>
    </row>
    <row r="42">
      <c r="A42" s="21" t="s">
        <v>65</v>
      </c>
      <c r="B42" s="23"/>
      <c r="C42" s="47" t="s">
        <v>70</v>
      </c>
    </row>
    <row r="43">
      <c r="A43" s="4" t="s">
        <v>4</v>
      </c>
      <c r="B43" s="6" t="s">
        <v>5</v>
      </c>
      <c r="C43" s="7" t="s">
        <v>6</v>
      </c>
    </row>
    <row r="44">
      <c r="A44" s="14" t="s">
        <v>7</v>
      </c>
      <c r="B44" s="10"/>
      <c r="C44" s="17" t="s">
        <v>11</v>
      </c>
    </row>
    <row r="45">
      <c r="A45" s="21" t="s">
        <v>14</v>
      </c>
      <c r="B45" s="23"/>
      <c r="C45" s="25" t="s">
        <v>103</v>
      </c>
    </row>
    <row r="46">
      <c r="A46" s="28" t="s">
        <v>22</v>
      </c>
      <c r="B46" s="29" t="s">
        <v>23</v>
      </c>
      <c r="C46" s="25" t="s">
        <v>105</v>
      </c>
    </row>
    <row r="47">
      <c r="A47" s="32"/>
      <c r="B47" s="29" t="s">
        <v>27</v>
      </c>
      <c r="C47" s="33" t="s">
        <v>106</v>
      </c>
    </row>
    <row r="48">
      <c r="A48" s="32"/>
      <c r="B48" s="29" t="s">
        <v>31</v>
      </c>
      <c r="C48" s="25" t="s">
        <v>107</v>
      </c>
    </row>
    <row r="49">
      <c r="A49" s="32"/>
      <c r="B49" s="29" t="s">
        <v>33</v>
      </c>
      <c r="C49" s="25" t="s">
        <v>109</v>
      </c>
    </row>
    <row r="50">
      <c r="A50" s="32"/>
      <c r="B50" s="38" t="s">
        <v>35</v>
      </c>
      <c r="C50" s="39" t="s">
        <v>97</v>
      </c>
    </row>
    <row r="51">
      <c r="A51" s="32"/>
      <c r="B51" s="23"/>
      <c r="C51" s="39" t="s">
        <v>38</v>
      </c>
    </row>
    <row r="52">
      <c r="A52" s="43"/>
      <c r="B52" s="29" t="s">
        <v>40</v>
      </c>
      <c r="C52" s="47" t="s">
        <v>99</v>
      </c>
    </row>
    <row r="53">
      <c r="A53" s="28" t="s">
        <v>47</v>
      </c>
      <c r="B53" s="29" t="s">
        <v>50</v>
      </c>
      <c r="C53" s="47" t="s">
        <v>55</v>
      </c>
    </row>
    <row r="54">
      <c r="A54" s="32"/>
      <c r="B54" s="29" t="s">
        <v>56</v>
      </c>
      <c r="C54" s="33" t="s">
        <v>57</v>
      </c>
    </row>
    <row r="55">
      <c r="A55" s="43"/>
      <c r="B55" s="29" t="s">
        <v>59</v>
      </c>
      <c r="C55" s="56" t="s">
        <v>60</v>
      </c>
    </row>
    <row r="56">
      <c r="A56" s="21" t="s">
        <v>65</v>
      </c>
      <c r="B56" s="23"/>
      <c r="C56" s="47" t="s">
        <v>70</v>
      </c>
    </row>
  </sheetData>
  <mergeCells count="24">
    <mergeCell ref="A11:A13"/>
    <mergeCell ref="A18:A24"/>
    <mergeCell ref="A25:A27"/>
    <mergeCell ref="A32:A38"/>
    <mergeCell ref="A39:A41"/>
    <mergeCell ref="A46:A52"/>
    <mergeCell ref="A53:A55"/>
    <mergeCell ref="A2:B2"/>
    <mergeCell ref="A3:B3"/>
    <mergeCell ref="A4:A10"/>
    <mergeCell ref="B8:B9"/>
    <mergeCell ref="A14:B14"/>
    <mergeCell ref="A16:B16"/>
    <mergeCell ref="A17:B17"/>
    <mergeCell ref="A45:B45"/>
    <mergeCell ref="B50:B51"/>
    <mergeCell ref="A56:B56"/>
    <mergeCell ref="B22:B23"/>
    <mergeCell ref="A28:B28"/>
    <mergeCell ref="A30:B30"/>
    <mergeCell ref="A31:B31"/>
    <mergeCell ref="B36:B37"/>
    <mergeCell ref="A42:B42"/>
    <mergeCell ref="A44:B44"/>
  </mergeCells>
  <dataValidations>
    <dataValidation type="list" allowBlank="1" showErrorMessage="1" sqref="C11 C25 C39 C53">
      <formula1>"Windows 11 ,Windows 10 ,Windows 8.1/8,Windows 7,Ubuntu (latest),Ubuntu (less then 24.04),MacOS 14 (Sonoma),MacOS 13 (Ventura),MacOS 12 (Monterey)"</formula1>
    </dataValidation>
    <dataValidation type="list" allowBlank="1" showInputMessage="1" prompt="Сhoose severity ...." sqref="C14 C28 C42 C56">
      <formula1>"Critical,Major,Moderate,Minor"</formula1>
    </dataValidation>
    <dataValidation type="list" allowBlank="1" showErrorMessage="1" sqref="C13 C27 C41 C55">
      <formula1>"Chrome (latest),Safari (latest),Firefox (latest),Edge (latest)"</formula1>
    </dataValidation>
  </dataValidations>
  <drawing r:id="rId1"/>
</worksheet>
</file>